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evaz\OneDrive\Escritorio\Metamers\PCB Files\listParts\"/>
    </mc:Choice>
  </mc:AlternateContent>
  <xr:revisionPtr revIDLastSave="0" documentId="13_ncr:1_{19D0AB32-AA8F-4E1D-9551-9176FD181A3F}" xr6:coauthVersionLast="47" xr6:coauthVersionMax="47" xr10:uidLastSave="{00000000-0000-0000-0000-000000000000}"/>
  <bookViews>
    <workbookView xWindow="-38520" yWindow="-5385" windowWidth="38640" windowHeight="21120" tabRatio="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3" l="1"/>
  <c r="F15" i="3"/>
  <c r="J15" i="3" s="1"/>
  <c r="G14" i="3"/>
  <c r="J14" i="3" s="1"/>
  <c r="F14" i="3"/>
  <c r="E14" i="3"/>
  <c r="D14" i="3"/>
  <c r="C14" i="3"/>
  <c r="G13" i="3"/>
  <c r="J13" i="3" s="1"/>
  <c r="F13" i="3"/>
  <c r="E13" i="3"/>
  <c r="D13" i="3"/>
  <c r="C13" i="3"/>
  <c r="G12" i="3"/>
  <c r="J12" i="3" s="1"/>
  <c r="F12" i="3"/>
  <c r="E12" i="3"/>
  <c r="D12" i="3"/>
  <c r="C12" i="3"/>
  <c r="G11" i="3"/>
  <c r="J11" i="3" s="1"/>
  <c r="F11" i="3"/>
  <c r="E11" i="3"/>
  <c r="D11" i="3"/>
  <c r="C11" i="3"/>
  <c r="G10" i="3"/>
  <c r="J10" i="3" s="1"/>
  <c r="F10" i="3"/>
  <c r="E10" i="3"/>
  <c r="D10" i="3"/>
  <c r="C10" i="3"/>
  <c r="H10" i="3" s="1"/>
  <c r="G9" i="3"/>
  <c r="J9" i="3" s="1"/>
  <c r="F9" i="3"/>
  <c r="E9" i="3"/>
  <c r="D9" i="3"/>
  <c r="I9" i="3" s="1"/>
  <c r="C9" i="3"/>
  <c r="G8" i="3"/>
  <c r="J8" i="3" s="1"/>
  <c r="F8" i="3"/>
  <c r="E8" i="3"/>
  <c r="D8" i="3"/>
  <c r="C8" i="3"/>
  <c r="G7" i="3"/>
  <c r="F7" i="3"/>
  <c r="J7" i="3" s="1"/>
  <c r="E7" i="3"/>
  <c r="D7" i="3"/>
  <c r="C7" i="3"/>
  <c r="G6" i="3"/>
  <c r="F6" i="3"/>
  <c r="J6" i="3" s="1"/>
  <c r="E6" i="3"/>
  <c r="D6" i="3"/>
  <c r="C6" i="3"/>
  <c r="H6" i="3" s="1"/>
  <c r="G5" i="3"/>
  <c r="F5" i="3"/>
  <c r="J5" i="3" s="1"/>
  <c r="E5" i="3"/>
  <c r="D5" i="3"/>
  <c r="C5" i="3"/>
  <c r="G4" i="3"/>
  <c r="J4" i="3" s="1"/>
  <c r="F4" i="3"/>
  <c r="E4" i="3"/>
  <c r="D4" i="3"/>
  <c r="C4" i="3"/>
  <c r="G3" i="3"/>
  <c r="J3" i="3" s="1"/>
  <c r="F3" i="3"/>
  <c r="E3" i="3"/>
  <c r="D3" i="3"/>
  <c r="C3" i="3"/>
  <c r="G2" i="3"/>
  <c r="F2" i="3"/>
  <c r="J2" i="3" s="1"/>
  <c r="E2" i="3"/>
  <c r="D2" i="3"/>
  <c r="I2" i="3" s="1"/>
  <c r="C2" i="3"/>
  <c r="H2" i="3" s="1"/>
  <c r="G16" i="2"/>
  <c r="F16" i="2"/>
  <c r="J16" i="2" s="1"/>
  <c r="E16" i="2"/>
  <c r="D16" i="2"/>
  <c r="C16" i="2"/>
  <c r="G15" i="2"/>
  <c r="J15" i="2" s="1"/>
  <c r="F15" i="2"/>
  <c r="I15" i="2" s="1"/>
  <c r="E15" i="2"/>
  <c r="D15" i="2"/>
  <c r="C15" i="2"/>
  <c r="G14" i="2"/>
  <c r="J14" i="2" s="1"/>
  <c r="F14" i="2"/>
  <c r="E14" i="2"/>
  <c r="D14" i="2"/>
  <c r="C14" i="2"/>
  <c r="G13" i="2"/>
  <c r="J13" i="2" s="1"/>
  <c r="F13" i="2"/>
  <c r="E13" i="2"/>
  <c r="D13" i="2"/>
  <c r="C13" i="2"/>
  <c r="G12" i="2"/>
  <c r="J12" i="2" s="1"/>
  <c r="F12" i="2"/>
  <c r="E12" i="2"/>
  <c r="D12" i="2"/>
  <c r="C12" i="2"/>
  <c r="G11" i="2"/>
  <c r="J11" i="2" s="1"/>
  <c r="F11" i="2"/>
  <c r="E11" i="2"/>
  <c r="D11" i="2"/>
  <c r="C11" i="2"/>
  <c r="G10" i="2"/>
  <c r="J10" i="2" s="1"/>
  <c r="F10" i="2"/>
  <c r="E10" i="2"/>
  <c r="D10" i="2"/>
  <c r="C10" i="2"/>
  <c r="G9" i="2"/>
  <c r="J9" i="2" s="1"/>
  <c r="F9" i="2"/>
  <c r="E9" i="2"/>
  <c r="D9" i="2"/>
  <c r="C9" i="2"/>
  <c r="G8" i="2"/>
  <c r="J8" i="2" s="1"/>
  <c r="F8" i="2"/>
  <c r="E8" i="2"/>
  <c r="D8" i="2"/>
  <c r="C8" i="2"/>
  <c r="G7" i="2"/>
  <c r="F7" i="2"/>
  <c r="J7" i="2" s="1"/>
  <c r="E7" i="2"/>
  <c r="D7" i="2"/>
  <c r="C7" i="2"/>
  <c r="G6" i="2"/>
  <c r="F6" i="2"/>
  <c r="J6" i="2" s="1"/>
  <c r="E6" i="2"/>
  <c r="D6" i="2"/>
  <c r="C6" i="2"/>
  <c r="G5" i="2"/>
  <c r="F5" i="2"/>
  <c r="J5" i="2" s="1"/>
  <c r="E5" i="2"/>
  <c r="D5" i="2"/>
  <c r="C5" i="2"/>
  <c r="G4" i="2"/>
  <c r="J4" i="2" s="1"/>
  <c r="F4" i="2"/>
  <c r="I4" i="2" s="1"/>
  <c r="E4" i="2"/>
  <c r="D4" i="2"/>
  <c r="C4" i="2"/>
  <c r="G3" i="2"/>
  <c r="J3" i="2" s="1"/>
  <c r="F3" i="2"/>
  <c r="I3" i="2" s="1"/>
  <c r="E3" i="2"/>
  <c r="D3" i="2"/>
  <c r="C3" i="2"/>
  <c r="G2" i="2"/>
  <c r="F2" i="2"/>
  <c r="J2" i="2" s="1"/>
  <c r="E2" i="2"/>
  <c r="D2" i="2"/>
  <c r="C2" i="2"/>
  <c r="I14" i="2" l="1"/>
  <c r="H8" i="3"/>
  <c r="I13" i="3"/>
  <c r="H6" i="2"/>
  <c r="H7" i="2"/>
  <c r="H13" i="2"/>
  <c r="I10" i="3"/>
  <c r="I11" i="2"/>
  <c r="H4" i="3"/>
  <c r="H12" i="3"/>
  <c r="I4" i="3"/>
  <c r="H15" i="2"/>
  <c r="H2" i="2"/>
  <c r="H8" i="2"/>
  <c r="I13" i="2"/>
  <c r="I3" i="3"/>
  <c r="I11" i="3"/>
  <c r="H5" i="2"/>
  <c r="H14" i="2"/>
  <c r="H9" i="2"/>
  <c r="H16" i="2"/>
  <c r="J17" i="3"/>
  <c r="H9" i="3"/>
  <c r="I12" i="3"/>
  <c r="H14" i="3"/>
  <c r="I12" i="2"/>
  <c r="H3" i="3"/>
  <c r="I6" i="3"/>
  <c r="H11" i="3"/>
  <c r="I14" i="3"/>
  <c r="I10" i="2"/>
  <c r="H5" i="3"/>
  <c r="I8" i="3"/>
  <c r="H13" i="3"/>
  <c r="H4" i="2"/>
  <c r="I9" i="2"/>
  <c r="H12" i="2"/>
  <c r="I5" i="3"/>
  <c r="H3" i="2"/>
  <c r="I8" i="2"/>
  <c r="H11" i="2"/>
  <c r="H7" i="3"/>
  <c r="H10" i="2"/>
  <c r="I7" i="3"/>
  <c r="J18" i="2"/>
  <c r="H15" i="3"/>
  <c r="I2" i="2"/>
  <c r="I5" i="2"/>
  <c r="I16" i="2"/>
  <c r="I15" i="3"/>
  <c r="I6" i="2"/>
  <c r="I7" i="2"/>
  <c r="H18" i="2" l="1"/>
  <c r="I17" i="3"/>
  <c r="H17" i="3"/>
  <c r="I18" i="2"/>
</calcChain>
</file>

<file path=xl/sharedStrings.xml><?xml version="1.0" encoding="utf-8"?>
<sst xmlns="http://schemas.openxmlformats.org/spreadsheetml/2006/main" count="146" uniqueCount="105">
  <si>
    <t>Part</t>
  </si>
  <si>
    <t>Part name</t>
  </si>
  <si>
    <t>Part number</t>
  </si>
  <si>
    <t>URL</t>
  </si>
  <si>
    <t>Unit price</t>
  </si>
  <si>
    <t>Price for 10</t>
  </si>
  <si>
    <t>Item description</t>
  </si>
  <si>
    <t>Notes</t>
  </si>
  <si>
    <t>Teensy header</t>
  </si>
  <si>
    <t>3883</t>
  </si>
  <si>
    <t>1528-3883-ND</t>
  </si>
  <si>
    <t>https://www.digikey.com/en/products/detail/adafruit-industries-llc/3883/11201426</t>
  </si>
  <si>
    <t>ITSYBITSY / TEENSY HEADER KIT — Connector Kit Rectangular - Receptacle</t>
  </si>
  <si>
    <t>No qty-10 price break; Price for 10 = 10x unit price</t>
  </si>
  <si>
    <t>Vert Fem PCB 2 pins</t>
  </si>
  <si>
    <t>350422-1</t>
  </si>
  <si>
    <t>A14367-ND</t>
  </si>
  <si>
    <t>https://www.digikey.com/en/products/detail/te-connectivity-amp-connectors/350422-1/213833</t>
  </si>
  <si>
    <t>CONN HEADER VERT 2POS 5.08MM</t>
  </si>
  <si>
    <t>Vert Fem Wire 2 pins</t>
  </si>
  <si>
    <t>1-480318-0</t>
  </si>
  <si>
    <t>A1411-ND</t>
  </si>
  <si>
    <t>https://www.digikey.com/en/products/detail/te-connectivity-amp-connectors/1-480318-0/15664</t>
  </si>
  <si>
    <t>CONN PLUG HSG 2POS 5.08MM</t>
  </si>
  <si>
    <t>Vert Fem 4 pin PCB</t>
  </si>
  <si>
    <t>RS1-04-G</t>
  </si>
  <si>
    <t>2057-RS1-04-G-ND</t>
  </si>
  <si>
    <t>https://www.digikey.com/en/products/detail/adam-tech/RS1-04-G/9829303</t>
  </si>
  <si>
    <t>RECEPTACLE STRIP 4P 2.54MM PITCH</t>
  </si>
  <si>
    <t>Vert Fem 6 pin PCB</t>
  </si>
  <si>
    <t>RS1-06-G</t>
  </si>
  <si>
    <t>2057-RS1-06-G-ND</t>
  </si>
  <si>
    <t>https://www.digikey.com/en/products/detail/adam-tech/RS1-06-G/9832050</t>
  </si>
  <si>
    <t>RECEPTACLE STRIP 6P 2.54MM PITCH</t>
  </si>
  <si>
    <t>Vert Fem 5 pin PCB</t>
  </si>
  <si>
    <t>RS1-05-G</t>
  </si>
  <si>
    <t>2057-RS1-05-G-ND</t>
  </si>
  <si>
    <t>https://www.digikey.com/en/products/detail/adam-tech/RS1-05-G/9832046</t>
  </si>
  <si>
    <t>RECEPTACLE STRIP 5P 2.54MM PITCH</t>
  </si>
  <si>
    <t>Vert Fem 7 pin PCB</t>
  </si>
  <si>
    <t>RS1-07-G</t>
  </si>
  <si>
    <t>2057-RS1-07-G-ND</t>
  </si>
  <si>
    <t>https://www.digikey.com/en/products/detail/adam-tech/RS1-07-G/9832045</t>
  </si>
  <si>
    <t>RECEPTACLE STRIP 7P 2.54MM PITCH</t>
  </si>
  <si>
    <t>Driver Mount PCB</t>
  </si>
  <si>
    <t>PA0186</t>
  </si>
  <si>
    <t>PA0186-ND</t>
  </si>
  <si>
    <t>https://www.digikey.com/en/products/detail/chip-quik-inc/PA0186/5014834</t>
  </si>
  <si>
    <t>TO-263-7 DDPAK/D2PAK TO DIP-14 — SMD to DIP adapter board</t>
  </si>
  <si>
    <t>Driver LED</t>
  </si>
  <si>
    <t>TL4242QKTTRQ1</t>
  </si>
  <si>
    <t>296-34911-1-ND (Cut Tape)</t>
  </si>
  <si>
    <t>https://www.digikey.com/en/products/detail/texas-instruments/TL4242QKTTRQ1/3615466</t>
  </si>
  <si>
    <t>IC LED DRVR LINEAR 500MA DDPAK-7</t>
  </si>
  <si>
    <t>R 220</t>
  </si>
  <si>
    <t>CFM14JT220R</t>
  </si>
  <si>
    <t>S220QCT-ND (Cut Tape)</t>
  </si>
  <si>
    <t>https://www.digikey.com/en/products/detail/stackpole-electronics-inc/CFM14JT220R/1742139</t>
  </si>
  <si>
    <t>RES 220 OHM 5% 1/4W AXIAL</t>
  </si>
  <si>
    <t>R 0.2</t>
  </si>
  <si>
    <t>KNP100JR-52-0R2</t>
  </si>
  <si>
    <t>13-KNP100JR-52-0R2CT-ND (Cut Tape)</t>
  </si>
  <si>
    <t>https://www.digikey.com/en/products/detail/yageo/KNP100JR-52-0R2/2058739</t>
  </si>
  <si>
    <t>RES 0.2 OHM 5% 1W AXIAL</t>
  </si>
  <si>
    <t>capacitor 474</t>
  </si>
  <si>
    <t>TAP474K050BRS</t>
  </si>
  <si>
    <t>TAP474K050BRS-ND</t>
  </si>
  <si>
    <t>https://www.digikey.com/en/products/detail/kyocera-avx/TAP474K050BRS/1471927</t>
  </si>
  <si>
    <t>CAP TANT 0.47UF 10% 50V RADIAL</t>
  </si>
  <si>
    <t>Not normally stocked; min order qty 3,000 at $0.22355 ea ($670.65). No qty-1 or qty-10 price break exists. In-stock substitute available: TAP474K050SCS, $0.72 ea, DK# 478-1901-ND</t>
  </si>
  <si>
    <t>screw term 2 pins</t>
  </si>
  <si>
    <t>TB002-500-02BE</t>
  </si>
  <si>
    <t>102-6145-ND</t>
  </si>
  <si>
    <t>https://www.digikey.com/en/products/detail/same-sky-formerly-cui-devices/TB002-500-02BE/10064069</t>
  </si>
  <si>
    <t>TERMINAL BLOCK, SCREW TYPE, 5.00MM</t>
  </si>
  <si>
    <t>wire</t>
  </si>
  <si>
    <t>AWG28-9/G/300</t>
  </si>
  <si>
    <t>AE09G-300-ND</t>
  </si>
  <si>
    <t>https://www.digikey.com/en/products/detail/assmann-wsw-components/AWG28-9-G-300/655767</t>
  </si>
  <si>
    <t>CBL RIBN 9COND 0.05 GRAY 300' (sold per foot; price shown is per-foot)</t>
  </si>
  <si>
    <t>Unit price &amp; price-for-10 are per foot, not per unit</t>
  </si>
  <si>
    <t>project box</t>
  </si>
  <si>
    <t>BC-CGS-141709</t>
  </si>
  <si>
    <t>2371-BC-CGS-141709-ND</t>
  </si>
  <si>
    <t>https://www.digikey.com/en/products/detail/industrialemart/BC-CGS-141709/13419797</t>
  </si>
  <si>
    <t>BOX PLAS LGT GRY 6.69"L X 5.51"W X 3.74"H, Lift-Off Screw Cover, IP66/IP67</t>
  </si>
  <si>
    <t>DigiKey Marketplace item (ships from IndustrialeMart, +$9.99 flat shipping); no qty-10 price break, Price for 10 = 10x unit price</t>
  </si>
  <si>
    <t>Number needed (per PCB)</t>
  </si>
  <si>
    <t>Total qty - 1 PCB</t>
  </si>
  <si>
    <t>Total qty - 2 PCBs</t>
  </si>
  <si>
    <t>Total qty - 3 PCBs</t>
  </si>
  <si>
    <t>Unit price (qty 1)</t>
  </si>
  <si>
    <t>Bulk unit price (qty 10+)</t>
  </si>
  <si>
    <t>Cost - 1 PCB</t>
  </si>
  <si>
    <t>Cost - 2 PCBs</t>
  </si>
  <si>
    <t>Cost - 3 PCBs</t>
  </si>
  <si>
    <t>TOTAL PCB COST</t>
  </si>
  <si>
    <t>Note: when total quantity needed for a build reaches 10+, the cost uses DigiKey's qty-10 bulk unit price instead of the qty-1 price.</t>
  </si>
  <si>
    <t>TOTAL PCB COST (no project box)</t>
  </si>
  <si>
    <t>Note: Project box excluded from this estimate. Wire quantity fixed at 5 (spool length) regardless of PCB count, not scaled per PCB. Bulk qty-10 pricing applies once total quantity needed reaches 10+.</t>
  </si>
  <si>
    <t>R 0.3</t>
  </si>
  <si>
    <t>KNP100JR-73-0R3</t>
  </si>
  <si>
    <t>13-KNP100JR-73-0R3CT-ND - Cut Tape (CT)</t>
  </si>
  <si>
    <t>https://www.digikey.com/en/products/detail/yageo/KNP100JR-73-0R3/2058757</t>
  </si>
  <si>
    <t>RES 0.3 OHM 5% 1W AXIAL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</si>
</sst>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.00000"/>
  </numFmts>
  <fonts count="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u/>
      <sz val="11"/>
      <color rgb="FF0000FF"/>
      <name val="Arial"/>
      <charset val="1"/>
    </font>
    <font>
      <i/>
      <sz val="9"/>
      <name val="Arial"/>
      <charset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1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chip-quik-inc/PA0186/5014834" TargetMode="External"/><Relationship Id="rId13" Type="http://schemas.openxmlformats.org/officeDocument/2006/relationships/hyperlink" Target="https://www.digikey.com/en/products/detail/same-sky-formerly-cui-devices/TB002-500-02BE/10064069" TargetMode="External"/><Relationship Id="rId3" Type="http://schemas.openxmlformats.org/officeDocument/2006/relationships/hyperlink" Target="https://www.digikey.com/en/products/detail/te-connectivity-amp-connectors/1-480318-0/15664" TargetMode="External"/><Relationship Id="rId7" Type="http://schemas.openxmlformats.org/officeDocument/2006/relationships/hyperlink" Target="https://www.digikey.com/en/products/detail/adam-tech/RS1-07-G/9832045" TargetMode="External"/><Relationship Id="rId12" Type="http://schemas.openxmlformats.org/officeDocument/2006/relationships/hyperlink" Target="https://www.digikey.com/en/products/detail/kyocera-avx/TAP474K050BRS/1471927" TargetMode="External"/><Relationship Id="rId2" Type="http://schemas.openxmlformats.org/officeDocument/2006/relationships/hyperlink" Target="https://www.digikey.com/en/products/detail/te-connectivity-amp-connectors/350422-1/213833" TargetMode="External"/><Relationship Id="rId1" Type="http://schemas.openxmlformats.org/officeDocument/2006/relationships/hyperlink" Target="https://www.digikey.com/en/products/detail/adafruit-industries-llc/3883/11201426" TargetMode="External"/><Relationship Id="rId6" Type="http://schemas.openxmlformats.org/officeDocument/2006/relationships/hyperlink" Target="https://www.digikey.com/en/products/detail/adam-tech/RS1-05-G/9832046" TargetMode="External"/><Relationship Id="rId11" Type="http://schemas.openxmlformats.org/officeDocument/2006/relationships/hyperlink" Target="https://www.digikey.com/en/products/detail/yageo/KNP100JR-52-0R2/2058739" TargetMode="External"/><Relationship Id="rId5" Type="http://schemas.openxmlformats.org/officeDocument/2006/relationships/hyperlink" Target="https://www.digikey.com/en/products/detail/adam-tech/RS1-06-G/9832050" TargetMode="External"/><Relationship Id="rId15" Type="http://schemas.openxmlformats.org/officeDocument/2006/relationships/hyperlink" Target="https://www.digikey.com/en/products/detail/industrialemart/BC-CGS-141709/13419797" TargetMode="External"/><Relationship Id="rId10" Type="http://schemas.openxmlformats.org/officeDocument/2006/relationships/hyperlink" Target="https://www.digikey.com/en/products/detail/stackpole-electronics-inc/CFM14JT220R/1742139" TargetMode="External"/><Relationship Id="rId4" Type="http://schemas.openxmlformats.org/officeDocument/2006/relationships/hyperlink" Target="https://www.digikey.com/en/products/detail/adam-tech/RS1-04-G/9829303" TargetMode="External"/><Relationship Id="rId9" Type="http://schemas.openxmlformats.org/officeDocument/2006/relationships/hyperlink" Target="https://www.digikey.com/en/products/detail/texas-instruments/TL4242QKTTRQ1/3615466" TargetMode="External"/><Relationship Id="rId14" Type="http://schemas.openxmlformats.org/officeDocument/2006/relationships/hyperlink" Target="https://www.digikey.com/en/products/detail/assmann-wsw-components/AWG28-9-G-300/6557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zoomScaleNormal="100" workbookViewId="0">
      <pane ySplit="1" topLeftCell="A2" activePane="bottomLeft" state="frozen"/>
      <selection pane="bottomLeft" activeCell="G12" sqref="G12"/>
    </sheetView>
  </sheetViews>
  <sheetFormatPr defaultColWidth="8.6640625" defaultRowHeight="14.4" x14ac:dyDescent="0.3"/>
  <cols>
    <col min="1" max="2" width="20" customWidth="1"/>
    <col min="3" max="3" width="28" customWidth="1"/>
    <col min="4" max="4" width="55" customWidth="1"/>
    <col min="5" max="5" width="12" customWidth="1"/>
    <col min="6" max="6" width="14" customWidth="1"/>
    <col min="7" max="7" width="55" customWidth="1"/>
    <col min="8" max="8" width="60" customWidth="1"/>
  </cols>
  <sheetData>
    <row r="1" spans="1: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3">
      <c r="A2" s="2" t="s">
        <v>8</v>
      </c>
      <c r="B2" s="2" t="s">
        <v>9</v>
      </c>
      <c r="C2" s="2" t="s">
        <v>10</v>
      </c>
      <c r="D2" s="3" t="s">
        <v>11</v>
      </c>
      <c r="E2" s="4">
        <v>1.25</v>
      </c>
      <c r="F2" s="4">
        <v>12.5</v>
      </c>
      <c r="G2" s="2" t="s">
        <v>12</v>
      </c>
      <c r="H2" s="2" t="s">
        <v>13</v>
      </c>
    </row>
    <row r="3" spans="1:8" ht="14.25" customHeight="1" x14ac:dyDescent="0.3">
      <c r="A3" s="2" t="s">
        <v>14</v>
      </c>
      <c r="B3" s="2" t="s">
        <v>15</v>
      </c>
      <c r="C3" s="2" t="s">
        <v>16</v>
      </c>
      <c r="D3" s="3" t="s">
        <v>17</v>
      </c>
      <c r="E3" s="4">
        <v>1.01</v>
      </c>
      <c r="F3" s="4">
        <v>8.56</v>
      </c>
      <c r="G3" s="2" t="s">
        <v>18</v>
      </c>
      <c r="H3" s="2"/>
    </row>
    <row r="4" spans="1:8" ht="14.25" customHeight="1" x14ac:dyDescent="0.3">
      <c r="A4" s="2" t="s">
        <v>19</v>
      </c>
      <c r="B4" s="2" t="s">
        <v>20</v>
      </c>
      <c r="C4" s="2" t="s">
        <v>21</v>
      </c>
      <c r="D4" s="3" t="s">
        <v>22</v>
      </c>
      <c r="E4" s="5">
        <v>0.32</v>
      </c>
      <c r="F4" s="4">
        <v>2.76</v>
      </c>
      <c r="G4" s="2" t="s">
        <v>23</v>
      </c>
      <c r="H4" s="2"/>
    </row>
    <row r="5" spans="1:8" ht="14.25" customHeight="1" x14ac:dyDescent="0.3">
      <c r="A5" s="2" t="s">
        <v>24</v>
      </c>
      <c r="B5" s="2" t="s">
        <v>25</v>
      </c>
      <c r="C5" s="2" t="s">
        <v>26</v>
      </c>
      <c r="D5" s="3" t="s">
        <v>27</v>
      </c>
      <c r="E5" s="5">
        <v>0.3</v>
      </c>
      <c r="F5" s="4">
        <v>2.5499999999999998</v>
      </c>
      <c r="G5" s="2" t="s">
        <v>28</v>
      </c>
      <c r="H5" s="2"/>
    </row>
    <row r="6" spans="1:8" ht="14.25" customHeight="1" x14ac:dyDescent="0.3">
      <c r="A6" s="2" t="s">
        <v>29</v>
      </c>
      <c r="B6" s="2" t="s">
        <v>30</v>
      </c>
      <c r="C6" s="2" t="s">
        <v>31</v>
      </c>
      <c r="D6" s="3" t="s">
        <v>32</v>
      </c>
      <c r="E6" s="5">
        <v>0.38</v>
      </c>
      <c r="F6" s="4">
        <v>3.24</v>
      </c>
      <c r="G6" s="2" t="s">
        <v>33</v>
      </c>
      <c r="H6" s="2"/>
    </row>
    <row r="7" spans="1:8" ht="14.25" customHeight="1" x14ac:dyDescent="0.3">
      <c r="A7" s="2" t="s">
        <v>34</v>
      </c>
      <c r="B7" s="2" t="s">
        <v>35</v>
      </c>
      <c r="C7" s="2" t="s">
        <v>36</v>
      </c>
      <c r="D7" s="3" t="s">
        <v>37</v>
      </c>
      <c r="E7" s="5">
        <v>0.37</v>
      </c>
      <c r="F7" s="4">
        <v>3.14</v>
      </c>
      <c r="G7" s="2" t="s">
        <v>38</v>
      </c>
      <c r="H7" s="2"/>
    </row>
    <row r="8" spans="1:8" ht="14.25" customHeight="1" x14ac:dyDescent="0.3">
      <c r="A8" s="2" t="s">
        <v>39</v>
      </c>
      <c r="B8" s="2" t="s">
        <v>40</v>
      </c>
      <c r="C8" s="2" t="s">
        <v>41</v>
      </c>
      <c r="D8" s="3" t="s">
        <v>42</v>
      </c>
      <c r="E8" s="5">
        <v>0.43</v>
      </c>
      <c r="F8" s="4">
        <v>3.66</v>
      </c>
      <c r="G8" s="2" t="s">
        <v>43</v>
      </c>
      <c r="H8" s="2"/>
    </row>
    <row r="9" spans="1:8" ht="14.25" customHeight="1" x14ac:dyDescent="0.3">
      <c r="A9" s="2" t="s">
        <v>44</v>
      </c>
      <c r="B9" s="2" t="s">
        <v>45</v>
      </c>
      <c r="C9" s="2" t="s">
        <v>46</v>
      </c>
      <c r="D9" s="3" t="s">
        <v>47</v>
      </c>
      <c r="E9" s="4">
        <v>5.29</v>
      </c>
      <c r="F9" s="4">
        <v>52.9</v>
      </c>
      <c r="G9" s="2" t="s">
        <v>48</v>
      </c>
      <c r="H9" s="2" t="s">
        <v>13</v>
      </c>
    </row>
    <row r="10" spans="1:8" ht="14.25" customHeight="1" x14ac:dyDescent="0.3">
      <c r="A10" s="2" t="s">
        <v>49</v>
      </c>
      <c r="B10" s="2" t="s">
        <v>50</v>
      </c>
      <c r="C10" s="2" t="s">
        <v>51</v>
      </c>
      <c r="D10" s="3" t="s">
        <v>52</v>
      </c>
      <c r="E10" s="4">
        <v>5.05</v>
      </c>
      <c r="F10" s="4">
        <v>38.47</v>
      </c>
      <c r="G10" s="2" t="s">
        <v>53</v>
      </c>
      <c r="H10" s="2"/>
    </row>
    <row r="11" spans="1:8" ht="14.25" customHeight="1" x14ac:dyDescent="0.3">
      <c r="A11" s="2" t="s">
        <v>54</v>
      </c>
      <c r="B11" s="2" t="s">
        <v>55</v>
      </c>
      <c r="C11" s="2" t="s">
        <v>56</v>
      </c>
      <c r="D11" s="3" t="s">
        <v>57</v>
      </c>
      <c r="E11" s="5">
        <v>0.1</v>
      </c>
      <c r="F11" s="5">
        <v>0.3</v>
      </c>
      <c r="G11" s="2" t="s">
        <v>58</v>
      </c>
      <c r="H11" s="2"/>
    </row>
    <row r="12" spans="1:8" ht="14.25" customHeight="1" x14ac:dyDescent="0.3">
      <c r="A12" s="2" t="s">
        <v>100</v>
      </c>
      <c r="B12" s="2" t="s">
        <v>101</v>
      </c>
      <c r="C12" s="2" t="s">
        <v>102</v>
      </c>
      <c r="D12" s="3" t="s">
        <v>103</v>
      </c>
      <c r="E12" s="5">
        <v>0.28999999999999998</v>
      </c>
      <c r="F12" s="4">
        <v>1.83</v>
      </c>
      <c r="G12" s="8" t="s">
        <v>104</v>
      </c>
      <c r="H12" s="2"/>
    </row>
    <row r="13" spans="1:8" ht="14.25" customHeight="1" x14ac:dyDescent="0.3">
      <c r="A13" s="2" t="s">
        <v>59</v>
      </c>
      <c r="B13" s="2" t="s">
        <v>60</v>
      </c>
      <c r="C13" s="2" t="s">
        <v>61</v>
      </c>
      <c r="D13" s="3" t="s">
        <v>62</v>
      </c>
      <c r="E13" s="5">
        <v>0.28999999999999998</v>
      </c>
      <c r="F13" s="4">
        <v>1.83</v>
      </c>
      <c r="G13" s="2" t="s">
        <v>63</v>
      </c>
      <c r="H13" s="2"/>
    </row>
    <row r="14" spans="1:8" ht="14.25" customHeight="1" x14ac:dyDescent="0.3">
      <c r="A14" s="2" t="s">
        <v>64</v>
      </c>
      <c r="B14" s="2" t="s">
        <v>65</v>
      </c>
      <c r="C14" s="2" t="s">
        <v>66</v>
      </c>
      <c r="D14" s="3" t="s">
        <v>67</v>
      </c>
      <c r="E14" s="5">
        <v>0.22355</v>
      </c>
      <c r="F14" s="4">
        <v>2.2400000000000002</v>
      </c>
      <c r="G14" s="2" t="s">
        <v>68</v>
      </c>
      <c r="H14" s="2" t="s">
        <v>69</v>
      </c>
    </row>
    <row r="15" spans="1:8" ht="14.25" customHeight="1" x14ac:dyDescent="0.3">
      <c r="A15" s="2" t="s">
        <v>70</v>
      </c>
      <c r="B15" s="2" t="s">
        <v>71</v>
      </c>
      <c r="C15" s="2" t="s">
        <v>72</v>
      </c>
      <c r="D15" s="3" t="s">
        <v>73</v>
      </c>
      <c r="E15" s="5">
        <v>0.32</v>
      </c>
      <c r="F15" s="4">
        <v>2.42</v>
      </c>
      <c r="G15" s="2" t="s">
        <v>74</v>
      </c>
      <c r="H15" s="2"/>
    </row>
    <row r="16" spans="1:8" ht="14.25" customHeight="1" x14ac:dyDescent="0.3">
      <c r="A16" s="2" t="s">
        <v>75</v>
      </c>
      <c r="B16" s="2" t="s">
        <v>76</v>
      </c>
      <c r="C16" s="2" t="s">
        <v>77</v>
      </c>
      <c r="D16" s="3" t="s">
        <v>78</v>
      </c>
      <c r="E16" s="5">
        <v>0.66</v>
      </c>
      <c r="F16" s="4">
        <v>4.79</v>
      </c>
      <c r="G16" s="2" t="s">
        <v>79</v>
      </c>
      <c r="H16" s="2" t="s">
        <v>80</v>
      </c>
    </row>
    <row r="17" spans="1:8" ht="14.25" customHeight="1" x14ac:dyDescent="0.3">
      <c r="A17" s="2" t="s">
        <v>81</v>
      </c>
      <c r="B17" s="2" t="s">
        <v>82</v>
      </c>
      <c r="C17" s="2" t="s">
        <v>83</v>
      </c>
      <c r="D17" s="3" t="s">
        <v>84</v>
      </c>
      <c r="E17" s="4">
        <v>28.67</v>
      </c>
      <c r="F17" s="4">
        <v>286.7</v>
      </c>
      <c r="G17" s="2" t="s">
        <v>85</v>
      </c>
      <c r="H17" s="2" t="s">
        <v>86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zoomScaleNormal="100" workbookViewId="0">
      <selection activeCell="A12" sqref="A12"/>
    </sheetView>
  </sheetViews>
  <sheetFormatPr defaultColWidth="8.6640625" defaultRowHeight="14.4" x14ac:dyDescent="0.3"/>
  <cols>
    <col min="1" max="2" width="22" customWidth="1"/>
    <col min="3" max="6" width="16" customWidth="1"/>
    <col min="7" max="7" width="18" customWidth="1"/>
    <col min="8" max="10" width="14" customWidth="1"/>
  </cols>
  <sheetData>
    <row r="1" spans="1:10" ht="14.25" customHeight="1" x14ac:dyDescent="0.3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 ht="14.25" customHeight="1" x14ac:dyDescent="0.3">
      <c r="A2" s="2" t="s">
        <v>8</v>
      </c>
      <c r="B2">
        <v>1</v>
      </c>
      <c r="C2" s="2">
        <f t="shared" ref="C2:C16" si="0">B2*1</f>
        <v>1</v>
      </c>
      <c r="D2" s="2">
        <f t="shared" ref="D2:D16" si="1">B2*2</f>
        <v>2</v>
      </c>
      <c r="E2" s="2">
        <f t="shared" ref="E2:E16" si="2">B2*3</f>
        <v>3</v>
      </c>
      <c r="F2" s="5">
        <f>INDEX(Sheet1!$E$2:$E$17,MATCH(A2,Sheet1!$A$2:$A$17,0))</f>
        <v>1.25</v>
      </c>
      <c r="G2" s="5">
        <f>INDEX(Sheet1!$F$2:$F$17,MATCH(A2,Sheet1!$A$2:$A$17,0))/10</f>
        <v>1.25</v>
      </c>
      <c r="H2" s="4">
        <f t="shared" ref="H2:H16" si="3">IF(C2&gt;=10,C2*$G2,C2*$F2)</f>
        <v>1.25</v>
      </c>
      <c r="I2" s="4">
        <f t="shared" ref="I2:I16" si="4">IF(D2&gt;=10,D2*$G2,D2*$F2)</f>
        <v>2.5</v>
      </c>
      <c r="J2" s="4">
        <f t="shared" ref="J2:J16" si="5">IF(E2&gt;=10,E2*$G2,E2*$F2)</f>
        <v>3.75</v>
      </c>
    </row>
    <row r="3" spans="1:10" ht="14.25" customHeight="1" x14ac:dyDescent="0.3">
      <c r="A3" s="2" t="s">
        <v>14</v>
      </c>
      <c r="B3">
        <v>4</v>
      </c>
      <c r="C3" s="2">
        <f t="shared" si="0"/>
        <v>4</v>
      </c>
      <c r="D3" s="2">
        <f t="shared" si="1"/>
        <v>8</v>
      </c>
      <c r="E3" s="2">
        <f t="shared" si="2"/>
        <v>12</v>
      </c>
      <c r="F3" s="5">
        <f>INDEX(Sheet1!$E$2:$E$17,MATCH(A3,Sheet1!$A$2:$A$17,0))</f>
        <v>1.01</v>
      </c>
      <c r="G3" s="5">
        <f>INDEX(Sheet1!$F$2:$F$17,MATCH(A3,Sheet1!$A$2:$A$17,0))/10</f>
        <v>0.85600000000000009</v>
      </c>
      <c r="H3" s="4">
        <f t="shared" si="3"/>
        <v>4.04</v>
      </c>
      <c r="I3" s="4">
        <f t="shared" si="4"/>
        <v>8.08</v>
      </c>
      <c r="J3" s="4">
        <f t="shared" si="5"/>
        <v>10.272000000000002</v>
      </c>
    </row>
    <row r="4" spans="1:10" ht="14.25" customHeight="1" x14ac:dyDescent="0.3">
      <c r="A4" s="2" t="s">
        <v>19</v>
      </c>
      <c r="B4">
        <v>4</v>
      </c>
      <c r="C4" s="2">
        <f t="shared" si="0"/>
        <v>4</v>
      </c>
      <c r="D4" s="2">
        <f t="shared" si="1"/>
        <v>8</v>
      </c>
      <c r="E4" s="2">
        <f t="shared" si="2"/>
        <v>12</v>
      </c>
      <c r="F4" s="5">
        <f>INDEX(Sheet1!$E$2:$E$17,MATCH(A4,Sheet1!$A$2:$A$17,0))</f>
        <v>0.32</v>
      </c>
      <c r="G4" s="5">
        <f>INDEX(Sheet1!$F$2:$F$17,MATCH(A4,Sheet1!$A$2:$A$17,0))/10</f>
        <v>0.27599999999999997</v>
      </c>
      <c r="H4" s="4">
        <f t="shared" si="3"/>
        <v>1.28</v>
      </c>
      <c r="I4" s="4">
        <f t="shared" si="4"/>
        <v>2.56</v>
      </c>
      <c r="J4" s="4">
        <f t="shared" si="5"/>
        <v>3.3119999999999994</v>
      </c>
    </row>
    <row r="5" spans="1:10" ht="14.25" customHeight="1" x14ac:dyDescent="0.3">
      <c r="A5" s="2" t="s">
        <v>24</v>
      </c>
      <c r="B5">
        <v>3</v>
      </c>
      <c r="C5" s="2">
        <f t="shared" si="0"/>
        <v>3</v>
      </c>
      <c r="D5" s="2">
        <f t="shared" si="1"/>
        <v>6</v>
      </c>
      <c r="E5" s="2">
        <f t="shared" si="2"/>
        <v>9</v>
      </c>
      <c r="F5" s="5">
        <f>INDEX(Sheet1!$E$2:$E$17,MATCH(A5,Sheet1!$A$2:$A$17,0))</f>
        <v>0.3</v>
      </c>
      <c r="G5" s="5">
        <f>INDEX(Sheet1!$F$2:$F$17,MATCH(A5,Sheet1!$A$2:$A$17,0))/10</f>
        <v>0.255</v>
      </c>
      <c r="H5" s="4">
        <f t="shared" si="3"/>
        <v>0.89999999999999991</v>
      </c>
      <c r="I5" s="4">
        <f t="shared" si="4"/>
        <v>1.7999999999999998</v>
      </c>
      <c r="J5" s="4">
        <f t="shared" si="5"/>
        <v>2.6999999999999997</v>
      </c>
    </row>
    <row r="6" spans="1:10" ht="14.25" customHeight="1" x14ac:dyDescent="0.3">
      <c r="A6" s="2" t="s">
        <v>29</v>
      </c>
      <c r="B6">
        <v>0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5">
        <f>INDEX(Sheet1!$E$2:$E$17,MATCH(A6,Sheet1!$A$2:$A$17,0))</f>
        <v>0.38</v>
      </c>
      <c r="G6" s="5">
        <f>INDEX(Sheet1!$F$2:$F$17,MATCH(A6,Sheet1!$A$2:$A$17,0))/10</f>
        <v>0.32400000000000001</v>
      </c>
      <c r="H6" s="4">
        <f t="shared" si="3"/>
        <v>0</v>
      </c>
      <c r="I6" s="4">
        <f t="shared" si="4"/>
        <v>0</v>
      </c>
      <c r="J6" s="4">
        <f t="shared" si="5"/>
        <v>0</v>
      </c>
    </row>
    <row r="7" spans="1:10" ht="14.25" customHeight="1" x14ac:dyDescent="0.3">
      <c r="A7" s="2" t="s">
        <v>34</v>
      </c>
      <c r="B7">
        <v>3</v>
      </c>
      <c r="C7" s="2">
        <f t="shared" si="0"/>
        <v>3</v>
      </c>
      <c r="D7" s="2">
        <f t="shared" si="1"/>
        <v>6</v>
      </c>
      <c r="E7" s="2">
        <f t="shared" si="2"/>
        <v>9</v>
      </c>
      <c r="F7" s="5">
        <f>INDEX(Sheet1!$E$2:$E$17,MATCH(A7,Sheet1!$A$2:$A$17,0))</f>
        <v>0.37</v>
      </c>
      <c r="G7" s="5">
        <f>INDEX(Sheet1!$F$2:$F$17,MATCH(A7,Sheet1!$A$2:$A$17,0))/10</f>
        <v>0.314</v>
      </c>
      <c r="H7" s="4">
        <f t="shared" si="3"/>
        <v>1.1099999999999999</v>
      </c>
      <c r="I7" s="4">
        <f t="shared" si="4"/>
        <v>2.2199999999999998</v>
      </c>
      <c r="J7" s="4">
        <f t="shared" si="5"/>
        <v>3.33</v>
      </c>
    </row>
    <row r="8" spans="1:10" ht="14.25" customHeight="1" x14ac:dyDescent="0.3">
      <c r="A8" s="2" t="s">
        <v>39</v>
      </c>
      <c r="B8">
        <v>12</v>
      </c>
      <c r="C8" s="2">
        <f t="shared" si="0"/>
        <v>12</v>
      </c>
      <c r="D8" s="2">
        <f t="shared" si="1"/>
        <v>24</v>
      </c>
      <c r="E8" s="2">
        <f t="shared" si="2"/>
        <v>36</v>
      </c>
      <c r="F8" s="5">
        <f>INDEX(Sheet1!$E$2:$E$17,MATCH(A8,Sheet1!$A$2:$A$17,0))</f>
        <v>0.43</v>
      </c>
      <c r="G8" s="5">
        <f>INDEX(Sheet1!$F$2:$F$17,MATCH(A8,Sheet1!$A$2:$A$17,0))/10</f>
        <v>0.36599999999999999</v>
      </c>
      <c r="H8" s="4">
        <f t="shared" si="3"/>
        <v>4.3919999999999995</v>
      </c>
      <c r="I8" s="4">
        <f t="shared" si="4"/>
        <v>8.7839999999999989</v>
      </c>
      <c r="J8" s="4">
        <f t="shared" si="5"/>
        <v>13.176</v>
      </c>
    </row>
    <row r="9" spans="1:10" ht="14.25" customHeight="1" x14ac:dyDescent="0.3">
      <c r="A9" s="2" t="s">
        <v>44</v>
      </c>
      <c r="B9">
        <v>6</v>
      </c>
      <c r="C9" s="2">
        <f t="shared" si="0"/>
        <v>6</v>
      </c>
      <c r="D9" s="2">
        <f t="shared" si="1"/>
        <v>12</v>
      </c>
      <c r="E9" s="2">
        <f t="shared" si="2"/>
        <v>18</v>
      </c>
      <c r="F9" s="5">
        <f>INDEX(Sheet1!$E$2:$E$17,MATCH(A9,Sheet1!$A$2:$A$17,0))</f>
        <v>5.29</v>
      </c>
      <c r="G9" s="5">
        <f>INDEX(Sheet1!$F$2:$F$17,MATCH(A9,Sheet1!$A$2:$A$17,0))/10</f>
        <v>5.29</v>
      </c>
      <c r="H9" s="4">
        <f t="shared" si="3"/>
        <v>31.740000000000002</v>
      </c>
      <c r="I9" s="4">
        <f t="shared" si="4"/>
        <v>63.480000000000004</v>
      </c>
      <c r="J9" s="4">
        <f t="shared" si="5"/>
        <v>95.22</v>
      </c>
    </row>
    <row r="10" spans="1:10" ht="14.25" customHeight="1" x14ac:dyDescent="0.3">
      <c r="A10" s="2" t="s">
        <v>49</v>
      </c>
      <c r="B10">
        <v>6</v>
      </c>
      <c r="C10" s="2">
        <f t="shared" si="0"/>
        <v>6</v>
      </c>
      <c r="D10" s="2">
        <f t="shared" si="1"/>
        <v>12</v>
      </c>
      <c r="E10" s="2">
        <f t="shared" si="2"/>
        <v>18</v>
      </c>
      <c r="F10" s="5">
        <f>INDEX(Sheet1!$E$2:$E$17,MATCH(A10,Sheet1!$A$2:$A$17,0))</f>
        <v>5.05</v>
      </c>
      <c r="G10" s="5">
        <f>INDEX(Sheet1!$F$2:$F$17,MATCH(A10,Sheet1!$A$2:$A$17,0))/10</f>
        <v>3.847</v>
      </c>
      <c r="H10" s="4">
        <f t="shared" si="3"/>
        <v>30.299999999999997</v>
      </c>
      <c r="I10" s="4">
        <f t="shared" si="4"/>
        <v>46.164000000000001</v>
      </c>
      <c r="J10" s="4">
        <f t="shared" si="5"/>
        <v>69.245999999999995</v>
      </c>
    </row>
    <row r="11" spans="1:10" ht="14.25" customHeight="1" x14ac:dyDescent="0.3">
      <c r="A11" s="2" t="s">
        <v>54</v>
      </c>
      <c r="B11">
        <v>6</v>
      </c>
      <c r="C11" s="2">
        <f t="shared" si="0"/>
        <v>6</v>
      </c>
      <c r="D11" s="2">
        <f t="shared" si="1"/>
        <v>12</v>
      </c>
      <c r="E11" s="2">
        <f t="shared" si="2"/>
        <v>18</v>
      </c>
      <c r="F11" s="5">
        <f>INDEX(Sheet1!$E$2:$E$17,MATCH(A11,Sheet1!$A$2:$A$17,0))</f>
        <v>0.1</v>
      </c>
      <c r="G11" s="5">
        <f>INDEX(Sheet1!$F$2:$F$17,MATCH(A11,Sheet1!$A$2:$A$17,0))/10</f>
        <v>0.03</v>
      </c>
      <c r="H11" s="4">
        <f t="shared" si="3"/>
        <v>0.60000000000000009</v>
      </c>
      <c r="I11" s="4">
        <f t="shared" si="4"/>
        <v>0.36</v>
      </c>
      <c r="J11" s="4">
        <f t="shared" si="5"/>
        <v>0.54</v>
      </c>
    </row>
    <row r="12" spans="1:10" ht="14.25" customHeight="1" x14ac:dyDescent="0.3">
      <c r="A12" s="8" t="s">
        <v>100</v>
      </c>
      <c r="B12">
        <v>6</v>
      </c>
      <c r="C12" s="2">
        <f t="shared" si="0"/>
        <v>6</v>
      </c>
      <c r="D12" s="2">
        <f t="shared" si="1"/>
        <v>12</v>
      </c>
      <c r="E12" s="2">
        <f t="shared" si="2"/>
        <v>18</v>
      </c>
      <c r="F12" s="5">
        <f>INDEX(Sheet1!$E$2:$E$17,MATCH(A12,Sheet1!$A$2:$A$17,0))</f>
        <v>0.28999999999999998</v>
      </c>
      <c r="G12" s="5">
        <f>INDEX(Sheet1!$F$2:$F$17,MATCH(A12,Sheet1!$A$2:$A$17,0))/10</f>
        <v>0.183</v>
      </c>
      <c r="H12" s="4">
        <f t="shared" si="3"/>
        <v>1.7399999999999998</v>
      </c>
      <c r="I12" s="4">
        <f t="shared" si="4"/>
        <v>2.1959999999999997</v>
      </c>
      <c r="J12" s="4">
        <f t="shared" si="5"/>
        <v>3.294</v>
      </c>
    </row>
    <row r="13" spans="1:10" ht="14.25" customHeight="1" x14ac:dyDescent="0.3">
      <c r="A13" s="2" t="s">
        <v>64</v>
      </c>
      <c r="B13">
        <v>6</v>
      </c>
      <c r="C13" s="2">
        <f t="shared" si="0"/>
        <v>6</v>
      </c>
      <c r="D13" s="2">
        <f t="shared" si="1"/>
        <v>12</v>
      </c>
      <c r="E13" s="2">
        <f t="shared" si="2"/>
        <v>18</v>
      </c>
      <c r="F13" s="5">
        <f>INDEX(Sheet1!$E$2:$E$17,MATCH(A13,Sheet1!$A$2:$A$17,0))</f>
        <v>0.22355</v>
      </c>
      <c r="G13" s="5">
        <f>INDEX(Sheet1!$F$2:$F$17,MATCH(A13,Sheet1!$A$2:$A$17,0))/10</f>
        <v>0.22400000000000003</v>
      </c>
      <c r="H13" s="4">
        <f t="shared" si="3"/>
        <v>1.3412999999999999</v>
      </c>
      <c r="I13" s="4">
        <f t="shared" si="4"/>
        <v>2.6880000000000006</v>
      </c>
      <c r="J13" s="4">
        <f t="shared" si="5"/>
        <v>4.0320000000000009</v>
      </c>
    </row>
    <row r="14" spans="1:10" ht="14.25" customHeight="1" x14ac:dyDescent="0.3">
      <c r="A14" s="2" t="s">
        <v>70</v>
      </c>
      <c r="B14">
        <v>15</v>
      </c>
      <c r="C14" s="2">
        <f t="shared" si="0"/>
        <v>15</v>
      </c>
      <c r="D14" s="2">
        <f t="shared" si="1"/>
        <v>30</v>
      </c>
      <c r="E14" s="2">
        <f t="shared" si="2"/>
        <v>45</v>
      </c>
      <c r="F14" s="5">
        <f>INDEX(Sheet1!$E$2:$E$17,MATCH(A14,Sheet1!$A$2:$A$17,0))</f>
        <v>0.32</v>
      </c>
      <c r="G14" s="5">
        <f>INDEX(Sheet1!$F$2:$F$17,MATCH(A14,Sheet1!$A$2:$A$17,0))/10</f>
        <v>0.24199999999999999</v>
      </c>
      <c r="H14" s="4">
        <f t="shared" si="3"/>
        <v>3.63</v>
      </c>
      <c r="I14" s="4">
        <f t="shared" si="4"/>
        <v>7.26</v>
      </c>
      <c r="J14" s="4">
        <f t="shared" si="5"/>
        <v>10.89</v>
      </c>
    </row>
    <row r="15" spans="1:10" ht="14.25" customHeight="1" x14ac:dyDescent="0.3">
      <c r="A15" s="2" t="s">
        <v>75</v>
      </c>
      <c r="B15">
        <v>4</v>
      </c>
      <c r="C15" s="2">
        <f t="shared" si="0"/>
        <v>4</v>
      </c>
      <c r="D15" s="2">
        <f t="shared" si="1"/>
        <v>8</v>
      </c>
      <c r="E15" s="2">
        <f t="shared" si="2"/>
        <v>12</v>
      </c>
      <c r="F15" s="5">
        <f>INDEX(Sheet1!$E$2:$E$17,MATCH(A15,Sheet1!$A$2:$A$17,0))</f>
        <v>0.66</v>
      </c>
      <c r="G15" s="5">
        <f>INDEX(Sheet1!$F$2:$F$17,MATCH(A15,Sheet1!$A$2:$A$17,0))/10</f>
        <v>0.47899999999999998</v>
      </c>
      <c r="H15" s="4">
        <f t="shared" si="3"/>
        <v>2.64</v>
      </c>
      <c r="I15" s="4">
        <f t="shared" si="4"/>
        <v>5.28</v>
      </c>
      <c r="J15" s="4">
        <f t="shared" si="5"/>
        <v>5.7479999999999993</v>
      </c>
    </row>
    <row r="16" spans="1:10" ht="14.25" customHeight="1" x14ac:dyDescent="0.3">
      <c r="A16" s="2" t="s">
        <v>81</v>
      </c>
      <c r="B16">
        <v>1</v>
      </c>
      <c r="C16" s="2">
        <f t="shared" si="0"/>
        <v>1</v>
      </c>
      <c r="D16" s="2">
        <f t="shared" si="1"/>
        <v>2</v>
      </c>
      <c r="E16" s="2">
        <f t="shared" si="2"/>
        <v>3</v>
      </c>
      <c r="F16" s="5">
        <f>INDEX(Sheet1!$E$2:$E$17,MATCH(A16,Sheet1!$A$2:$A$17,0))</f>
        <v>28.67</v>
      </c>
      <c r="G16" s="5">
        <f>INDEX(Sheet1!$F$2:$F$17,MATCH(A16,Sheet1!$A$2:$A$17,0))/10</f>
        <v>28.669999999999998</v>
      </c>
      <c r="H16" s="4">
        <f t="shared" si="3"/>
        <v>28.67</v>
      </c>
      <c r="I16" s="4">
        <f t="shared" si="4"/>
        <v>57.34</v>
      </c>
      <c r="J16" s="4">
        <f t="shared" si="5"/>
        <v>86.01</v>
      </c>
    </row>
    <row r="18" spans="1:10" ht="14.25" customHeight="1" x14ac:dyDescent="0.3">
      <c r="B18" s="1" t="s">
        <v>96</v>
      </c>
      <c r="H18" s="6">
        <f>SUM(H2:H16)</f>
        <v>113.63329999999999</v>
      </c>
      <c r="I18" s="6">
        <f>SUM(I2:I16)</f>
        <v>210.71200000000002</v>
      </c>
      <c r="J18" s="6">
        <f>SUM(J2:J16)</f>
        <v>311.52</v>
      </c>
    </row>
    <row r="19" spans="1:10" ht="14.25" customHeight="1" x14ac:dyDescent="0.3">
      <c r="A19" s="7" t="s">
        <v>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abSelected="1" zoomScaleNormal="100" workbookViewId="0">
      <selection activeCell="E29" sqref="E29"/>
    </sheetView>
  </sheetViews>
  <sheetFormatPr defaultColWidth="8.6640625" defaultRowHeight="14.4" x14ac:dyDescent="0.3"/>
  <cols>
    <col min="1" max="2" width="22" customWidth="1"/>
    <col min="3" max="6" width="16" customWidth="1"/>
    <col min="7" max="7" width="24.5546875" bestFit="1" customWidth="1"/>
    <col min="8" max="10" width="14" customWidth="1"/>
  </cols>
  <sheetData>
    <row r="1" spans="1:10" x14ac:dyDescent="0.3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 x14ac:dyDescent="0.3">
      <c r="A2" s="2" t="s">
        <v>8</v>
      </c>
      <c r="B2" s="2">
        <v>1</v>
      </c>
      <c r="C2" s="2">
        <f t="shared" ref="C2:C14" si="0">B2*1</f>
        <v>1</v>
      </c>
      <c r="D2" s="2">
        <f t="shared" ref="D2:D14" si="1">B2*2</f>
        <v>2</v>
      </c>
      <c r="E2" s="2">
        <f t="shared" ref="E2:E14" si="2">B2*3</f>
        <v>3</v>
      </c>
      <c r="F2" s="5">
        <f>INDEX(Sheet1!$E$2:$E$17,MATCH(A2,Sheet1!$A$2:$A$17,0))</f>
        <v>1.25</v>
      </c>
      <c r="G2" s="5">
        <f>INDEX(Sheet1!$F$2:$F$17,MATCH(A2,Sheet1!$A$2:$A$17,0))/10</f>
        <v>1.25</v>
      </c>
      <c r="H2" s="4">
        <f t="shared" ref="H2:H15" si="3">IF(C2&gt;=10,C2*$G2,C2*$F2)</f>
        <v>1.25</v>
      </c>
      <c r="I2" s="4">
        <f t="shared" ref="I2:I15" si="4">IF(D2&gt;=10,D2*$G2,D2*$F2)</f>
        <v>2.5</v>
      </c>
      <c r="J2" s="4">
        <f t="shared" ref="J2:J15" si="5">IF(E2&gt;=10,E2*$G2,E2*$F2)</f>
        <v>3.75</v>
      </c>
    </row>
    <row r="3" spans="1:10" x14ac:dyDescent="0.3">
      <c r="A3" s="2" t="s">
        <v>14</v>
      </c>
      <c r="B3" s="2">
        <v>4</v>
      </c>
      <c r="C3" s="2">
        <f t="shared" si="0"/>
        <v>4</v>
      </c>
      <c r="D3" s="2">
        <f t="shared" si="1"/>
        <v>8</v>
      </c>
      <c r="E3" s="2">
        <f t="shared" si="2"/>
        <v>12</v>
      </c>
      <c r="F3" s="5">
        <f>INDEX(Sheet1!$E$2:$E$17,MATCH(A3,Sheet1!$A$2:$A$17,0))</f>
        <v>1.01</v>
      </c>
      <c r="G3" s="5">
        <f>INDEX(Sheet1!$F$2:$F$17,MATCH(A3,Sheet1!$A$2:$A$17,0))/10</f>
        <v>0.85600000000000009</v>
      </c>
      <c r="H3" s="4">
        <f t="shared" si="3"/>
        <v>4.04</v>
      </c>
      <c r="I3" s="4">
        <f t="shared" si="4"/>
        <v>8.08</v>
      </c>
      <c r="J3" s="4">
        <f t="shared" si="5"/>
        <v>10.272000000000002</v>
      </c>
    </row>
    <row r="4" spans="1:10" x14ac:dyDescent="0.3">
      <c r="A4" s="2" t="s">
        <v>19</v>
      </c>
      <c r="B4" s="2">
        <v>4</v>
      </c>
      <c r="C4" s="2">
        <f t="shared" si="0"/>
        <v>4</v>
      </c>
      <c r="D4" s="2">
        <f t="shared" si="1"/>
        <v>8</v>
      </c>
      <c r="E4" s="2">
        <f t="shared" si="2"/>
        <v>12</v>
      </c>
      <c r="F4" s="5">
        <f>INDEX(Sheet1!$E$2:$E$17,MATCH(A4,Sheet1!$A$2:$A$17,0))</f>
        <v>0.32</v>
      </c>
      <c r="G4" s="5">
        <f>INDEX(Sheet1!$F$2:$F$17,MATCH(A4,Sheet1!$A$2:$A$17,0))/10</f>
        <v>0.27599999999999997</v>
      </c>
      <c r="H4" s="4">
        <f t="shared" si="3"/>
        <v>1.28</v>
      </c>
      <c r="I4" s="4">
        <f t="shared" si="4"/>
        <v>2.56</v>
      </c>
      <c r="J4" s="4">
        <f t="shared" si="5"/>
        <v>3.3119999999999994</v>
      </c>
    </row>
    <row r="5" spans="1:10" x14ac:dyDescent="0.3">
      <c r="A5" s="2" t="s">
        <v>24</v>
      </c>
      <c r="B5" s="2">
        <v>3</v>
      </c>
      <c r="C5" s="2">
        <f t="shared" si="0"/>
        <v>3</v>
      </c>
      <c r="D5" s="2">
        <f t="shared" si="1"/>
        <v>6</v>
      </c>
      <c r="E5" s="2">
        <f t="shared" si="2"/>
        <v>9</v>
      </c>
      <c r="F5" s="5">
        <f>INDEX(Sheet1!$E$2:$E$17,MATCH(A5,Sheet1!$A$2:$A$17,0))</f>
        <v>0.3</v>
      </c>
      <c r="G5" s="5">
        <f>INDEX(Sheet1!$F$2:$F$17,MATCH(A5,Sheet1!$A$2:$A$17,0))/10</f>
        <v>0.255</v>
      </c>
      <c r="H5" s="4">
        <f t="shared" si="3"/>
        <v>0.89999999999999991</v>
      </c>
      <c r="I5" s="4">
        <f t="shared" si="4"/>
        <v>1.7999999999999998</v>
      </c>
      <c r="J5" s="4">
        <f t="shared" si="5"/>
        <v>2.6999999999999997</v>
      </c>
    </row>
    <row r="6" spans="1:10" x14ac:dyDescent="0.3">
      <c r="A6" s="2" t="s">
        <v>29</v>
      </c>
      <c r="B6" s="2">
        <v>0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5">
        <f>INDEX(Sheet1!$E$2:$E$17,MATCH(A6,Sheet1!$A$2:$A$17,0))</f>
        <v>0.38</v>
      </c>
      <c r="G6" s="5">
        <f>INDEX(Sheet1!$F$2:$F$17,MATCH(A6,Sheet1!$A$2:$A$17,0))/10</f>
        <v>0.32400000000000001</v>
      </c>
      <c r="H6" s="4">
        <f t="shared" si="3"/>
        <v>0</v>
      </c>
      <c r="I6" s="4">
        <f t="shared" si="4"/>
        <v>0</v>
      </c>
      <c r="J6" s="4">
        <f t="shared" si="5"/>
        <v>0</v>
      </c>
    </row>
    <row r="7" spans="1:10" x14ac:dyDescent="0.3">
      <c r="A7" s="2" t="s">
        <v>34</v>
      </c>
      <c r="B7" s="2">
        <v>3</v>
      </c>
      <c r="C7" s="2">
        <f t="shared" si="0"/>
        <v>3</v>
      </c>
      <c r="D7" s="2">
        <f t="shared" si="1"/>
        <v>6</v>
      </c>
      <c r="E7" s="2">
        <f t="shared" si="2"/>
        <v>9</v>
      </c>
      <c r="F7" s="5">
        <f>INDEX(Sheet1!$E$2:$E$17,MATCH(A7,Sheet1!$A$2:$A$17,0))</f>
        <v>0.37</v>
      </c>
      <c r="G7" s="5">
        <f>INDEX(Sheet1!$F$2:$F$17,MATCH(A7,Sheet1!$A$2:$A$17,0))/10</f>
        <v>0.314</v>
      </c>
      <c r="H7" s="4">
        <f t="shared" si="3"/>
        <v>1.1099999999999999</v>
      </c>
      <c r="I7" s="4">
        <f t="shared" si="4"/>
        <v>2.2199999999999998</v>
      </c>
      <c r="J7" s="4">
        <f t="shared" si="5"/>
        <v>3.33</v>
      </c>
    </row>
    <row r="8" spans="1:10" x14ac:dyDescent="0.3">
      <c r="A8" s="2" t="s">
        <v>39</v>
      </c>
      <c r="B8" s="2">
        <v>12</v>
      </c>
      <c r="C8" s="2">
        <f t="shared" si="0"/>
        <v>12</v>
      </c>
      <c r="D8" s="2">
        <f t="shared" si="1"/>
        <v>24</v>
      </c>
      <c r="E8" s="2">
        <f t="shared" si="2"/>
        <v>36</v>
      </c>
      <c r="F8" s="5">
        <f>INDEX(Sheet1!$E$2:$E$17,MATCH(A8,Sheet1!$A$2:$A$17,0))</f>
        <v>0.43</v>
      </c>
      <c r="G8" s="5">
        <f>INDEX(Sheet1!$F$2:$F$17,MATCH(A8,Sheet1!$A$2:$A$17,0))/10</f>
        <v>0.36599999999999999</v>
      </c>
      <c r="H8" s="4">
        <f t="shared" si="3"/>
        <v>4.3919999999999995</v>
      </c>
      <c r="I8" s="4">
        <f t="shared" si="4"/>
        <v>8.7839999999999989</v>
      </c>
      <c r="J8" s="4">
        <f t="shared" si="5"/>
        <v>13.176</v>
      </c>
    </row>
    <row r="9" spans="1:10" x14ac:dyDescent="0.3">
      <c r="A9" s="2" t="s">
        <v>44</v>
      </c>
      <c r="B9" s="2">
        <v>6</v>
      </c>
      <c r="C9" s="2">
        <f t="shared" si="0"/>
        <v>6</v>
      </c>
      <c r="D9" s="2">
        <f t="shared" si="1"/>
        <v>12</v>
      </c>
      <c r="E9" s="2">
        <f t="shared" si="2"/>
        <v>18</v>
      </c>
      <c r="F9" s="5">
        <f>INDEX(Sheet1!$E$2:$E$17,MATCH(A9,Sheet1!$A$2:$A$17,0))</f>
        <v>5.29</v>
      </c>
      <c r="G9" s="5">
        <f>INDEX(Sheet1!$F$2:$F$17,MATCH(A9,Sheet1!$A$2:$A$17,0))/10</f>
        <v>5.29</v>
      </c>
      <c r="H9" s="4">
        <f t="shared" si="3"/>
        <v>31.740000000000002</v>
      </c>
      <c r="I9" s="4">
        <f t="shared" si="4"/>
        <v>63.480000000000004</v>
      </c>
      <c r="J9" s="4">
        <f t="shared" si="5"/>
        <v>95.22</v>
      </c>
    </row>
    <row r="10" spans="1:10" x14ac:dyDescent="0.3">
      <c r="A10" s="2" t="s">
        <v>49</v>
      </c>
      <c r="B10" s="2">
        <v>6</v>
      </c>
      <c r="C10" s="2">
        <f t="shared" si="0"/>
        <v>6</v>
      </c>
      <c r="D10" s="2">
        <f t="shared" si="1"/>
        <v>12</v>
      </c>
      <c r="E10" s="2">
        <f t="shared" si="2"/>
        <v>18</v>
      </c>
      <c r="F10" s="5">
        <f>INDEX(Sheet1!$E$2:$E$17,MATCH(A10,Sheet1!$A$2:$A$17,0))</f>
        <v>5.05</v>
      </c>
      <c r="G10" s="5">
        <f>INDEX(Sheet1!$F$2:$F$17,MATCH(A10,Sheet1!$A$2:$A$17,0))/10</f>
        <v>3.847</v>
      </c>
      <c r="H10" s="4">
        <f t="shared" si="3"/>
        <v>30.299999999999997</v>
      </c>
      <c r="I10" s="4">
        <f t="shared" si="4"/>
        <v>46.164000000000001</v>
      </c>
      <c r="J10" s="4">
        <f t="shared" si="5"/>
        <v>69.245999999999995</v>
      </c>
    </row>
    <row r="11" spans="1:10" x14ac:dyDescent="0.3">
      <c r="A11" s="2" t="s">
        <v>54</v>
      </c>
      <c r="B11" s="2">
        <v>6</v>
      </c>
      <c r="C11" s="2">
        <f t="shared" si="0"/>
        <v>6</v>
      </c>
      <c r="D11" s="2">
        <f t="shared" si="1"/>
        <v>12</v>
      </c>
      <c r="E11" s="2">
        <f t="shared" si="2"/>
        <v>18</v>
      </c>
      <c r="F11" s="5">
        <f>INDEX(Sheet1!$E$2:$E$17,MATCH(A11,Sheet1!$A$2:$A$17,0))</f>
        <v>0.1</v>
      </c>
      <c r="G11" s="5">
        <f>INDEX(Sheet1!$F$2:$F$17,MATCH(A11,Sheet1!$A$2:$A$17,0))/10</f>
        <v>0.03</v>
      </c>
      <c r="H11" s="4">
        <f t="shared" si="3"/>
        <v>0.60000000000000009</v>
      </c>
      <c r="I11" s="4">
        <f t="shared" si="4"/>
        <v>0.36</v>
      </c>
      <c r="J11" s="4">
        <f t="shared" si="5"/>
        <v>0.54</v>
      </c>
    </row>
    <row r="12" spans="1:10" x14ac:dyDescent="0.3">
      <c r="A12" s="8" t="s">
        <v>100</v>
      </c>
      <c r="B12" s="2">
        <v>6</v>
      </c>
      <c r="C12" s="2">
        <f t="shared" si="0"/>
        <v>6</v>
      </c>
      <c r="D12" s="2">
        <f t="shared" si="1"/>
        <v>12</v>
      </c>
      <c r="E12" s="2">
        <f t="shared" si="2"/>
        <v>18</v>
      </c>
      <c r="F12" s="5">
        <f>INDEX(Sheet1!$E$2:$E$17,MATCH(A12,Sheet1!$A$2:$A$17,0))</f>
        <v>0.28999999999999998</v>
      </c>
      <c r="G12" s="5">
        <f>INDEX(Sheet1!$F$2:$F$17,MATCH(A12,Sheet1!$A$2:$A$17,0))/10</f>
        <v>0.183</v>
      </c>
      <c r="H12" s="4">
        <f t="shared" si="3"/>
        <v>1.7399999999999998</v>
      </c>
      <c r="I12" s="4">
        <f t="shared" si="4"/>
        <v>2.1959999999999997</v>
      </c>
      <c r="J12" s="4">
        <f t="shared" si="5"/>
        <v>3.294</v>
      </c>
    </row>
    <row r="13" spans="1:10" x14ac:dyDescent="0.3">
      <c r="A13" s="2" t="s">
        <v>64</v>
      </c>
      <c r="B13" s="2">
        <v>6</v>
      </c>
      <c r="C13" s="2">
        <f t="shared" si="0"/>
        <v>6</v>
      </c>
      <c r="D13" s="2">
        <f t="shared" si="1"/>
        <v>12</v>
      </c>
      <c r="E13" s="2">
        <f t="shared" si="2"/>
        <v>18</v>
      </c>
      <c r="F13" s="5">
        <f>INDEX(Sheet1!$E$2:$E$17,MATCH(A13,Sheet1!$A$2:$A$17,0))</f>
        <v>0.22355</v>
      </c>
      <c r="G13" s="5">
        <f>INDEX(Sheet1!$F$2:$F$17,MATCH(A13,Sheet1!$A$2:$A$17,0))/10</f>
        <v>0.22400000000000003</v>
      </c>
      <c r="H13" s="4">
        <f t="shared" si="3"/>
        <v>1.3412999999999999</v>
      </c>
      <c r="I13" s="4">
        <f t="shared" si="4"/>
        <v>2.6880000000000006</v>
      </c>
      <c r="J13" s="4">
        <f t="shared" si="5"/>
        <v>4.0320000000000009</v>
      </c>
    </row>
    <row r="14" spans="1:10" x14ac:dyDescent="0.3">
      <c r="A14" s="2" t="s">
        <v>70</v>
      </c>
      <c r="B14" s="2">
        <v>15</v>
      </c>
      <c r="C14" s="2">
        <f t="shared" si="0"/>
        <v>15</v>
      </c>
      <c r="D14" s="2">
        <f t="shared" si="1"/>
        <v>30</v>
      </c>
      <c r="E14" s="2">
        <f t="shared" si="2"/>
        <v>45</v>
      </c>
      <c r="F14" s="5">
        <f>INDEX(Sheet1!$E$2:$E$17,MATCH(A14,Sheet1!$A$2:$A$17,0))</f>
        <v>0.32</v>
      </c>
      <c r="G14" s="5">
        <f>INDEX(Sheet1!$F$2:$F$17,MATCH(A14,Sheet1!$A$2:$A$17,0))/10</f>
        <v>0.24199999999999999</v>
      </c>
      <c r="H14" s="4">
        <f t="shared" si="3"/>
        <v>3.63</v>
      </c>
      <c r="I14" s="4">
        <f t="shared" si="4"/>
        <v>7.26</v>
      </c>
      <c r="J14" s="4">
        <f t="shared" si="5"/>
        <v>10.89</v>
      </c>
    </row>
    <row r="15" spans="1:10" x14ac:dyDescent="0.3">
      <c r="A15" s="2" t="s">
        <v>75</v>
      </c>
      <c r="B15" s="2">
        <v>4</v>
      </c>
      <c r="C15" s="2">
        <v>5</v>
      </c>
      <c r="D15" s="2">
        <v>5</v>
      </c>
      <c r="E15" s="2">
        <v>5</v>
      </c>
      <c r="F15" s="5">
        <f>INDEX(Sheet1!$E$2:$E$17,MATCH(A15,Sheet1!$A$2:$A$17,0))</f>
        <v>0.66</v>
      </c>
      <c r="G15" s="5">
        <f>INDEX(Sheet1!$F$2:$F$17,MATCH(A15,Sheet1!$A$2:$A$17,0))/10</f>
        <v>0.47899999999999998</v>
      </c>
      <c r="H15" s="4">
        <f t="shared" si="3"/>
        <v>3.3000000000000003</v>
      </c>
      <c r="I15" s="4">
        <f t="shared" si="4"/>
        <v>3.3000000000000003</v>
      </c>
      <c r="J15" s="4">
        <f t="shared" si="5"/>
        <v>3.3000000000000003</v>
      </c>
    </row>
    <row r="17" spans="1:10" x14ac:dyDescent="0.3">
      <c r="B17" s="1" t="s">
        <v>98</v>
      </c>
      <c r="H17" s="6">
        <f>SUM(H2:H15)</f>
        <v>85.623299999999986</v>
      </c>
      <c r="I17" s="6">
        <f>SUM(I2:I15)</f>
        <v>151.39200000000002</v>
      </c>
      <c r="J17" s="6">
        <f>SUM(J2:J15)</f>
        <v>223.06200000000001</v>
      </c>
    </row>
    <row r="18" spans="1:10" x14ac:dyDescent="0.3">
      <c r="A18" s="7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Sebastian Rueda Parra</cp:lastModifiedBy>
  <cp:revision>0</cp:revision>
  <dcterms:created xsi:type="dcterms:W3CDTF">2026-07-21T16:45:26Z</dcterms:created>
  <dcterms:modified xsi:type="dcterms:W3CDTF">2026-07-23T14:42:24Z</dcterms:modified>
  <dc:language>en-US</dc:language>
</cp:coreProperties>
</file>